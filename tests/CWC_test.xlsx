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Doctorado\Repositorios\uncertainty-informed-decision-making\tests\"/>
    </mc:Choice>
  </mc:AlternateContent>
  <xr:revisionPtr revIDLastSave="0" documentId="13_ncr:1_{F1F4EF7F-30DB-4BF0-86A0-8344AAED5BD0}" xr6:coauthVersionLast="47" xr6:coauthVersionMax="47" xr10:uidLastSave="{00000000-0000-0000-0000-000000000000}"/>
  <bookViews>
    <workbookView xWindow="28680" yWindow="-120" windowWidth="29040" windowHeight="16440" xr2:uid="{F24D7121-59CB-449E-9C6F-2D6B2C8932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E22" i="1"/>
  <c r="F22" i="1"/>
  <c r="G22" i="1"/>
  <c r="H22" i="1"/>
  <c r="I22" i="1"/>
  <c r="J22" i="1"/>
  <c r="K22" i="1"/>
  <c r="L22" i="1"/>
  <c r="M22" i="1"/>
  <c r="D22" i="1"/>
  <c r="D6" i="1"/>
  <c r="F6" i="1"/>
  <c r="D5" i="1"/>
  <c r="M5" i="1"/>
  <c r="L5" i="1"/>
  <c r="K5" i="1"/>
  <c r="J5" i="1"/>
  <c r="I5" i="1"/>
  <c r="H5" i="1"/>
  <c r="G5" i="1"/>
  <c r="F5" i="1"/>
  <c r="E5" i="1"/>
  <c r="D15" i="1"/>
  <c r="G12" i="1"/>
  <c r="D9" i="1"/>
  <c r="E9" i="1"/>
  <c r="F9" i="1"/>
  <c r="G9" i="1"/>
  <c r="H9" i="1"/>
  <c r="I9" i="1"/>
  <c r="J9" i="1"/>
  <c r="K9" i="1"/>
  <c r="L9" i="1"/>
  <c r="D10" i="1"/>
  <c r="E10" i="1"/>
  <c r="F10" i="1"/>
  <c r="G10" i="1"/>
  <c r="H10" i="1"/>
  <c r="I10" i="1"/>
  <c r="J10" i="1"/>
  <c r="K10" i="1"/>
  <c r="L10" i="1"/>
  <c r="D11" i="1"/>
  <c r="E11" i="1"/>
  <c r="F11" i="1"/>
  <c r="G11" i="1"/>
  <c r="H11" i="1"/>
  <c r="I11" i="1"/>
  <c r="J11" i="1"/>
  <c r="K11" i="1"/>
  <c r="L11" i="1"/>
  <c r="D12" i="1"/>
  <c r="E12" i="1"/>
  <c r="F12" i="1"/>
  <c r="H12" i="1"/>
  <c r="I12" i="1"/>
  <c r="J12" i="1"/>
  <c r="K12" i="1"/>
  <c r="L12" i="1"/>
  <c r="D13" i="1"/>
  <c r="E13" i="1"/>
  <c r="F13" i="1"/>
  <c r="G13" i="1"/>
  <c r="H13" i="1"/>
  <c r="I13" i="1"/>
  <c r="J13" i="1"/>
  <c r="K13" i="1"/>
  <c r="L13" i="1"/>
  <c r="D14" i="1"/>
  <c r="E14" i="1"/>
  <c r="F14" i="1"/>
  <c r="G14" i="1"/>
  <c r="H14" i="1"/>
  <c r="I14" i="1"/>
  <c r="J14" i="1"/>
  <c r="K14" i="1"/>
  <c r="L14" i="1"/>
  <c r="E15" i="1"/>
  <c r="F15" i="1"/>
  <c r="G15" i="1"/>
  <c r="H15" i="1"/>
  <c r="I15" i="1"/>
  <c r="J15" i="1"/>
  <c r="K15" i="1"/>
  <c r="L15" i="1"/>
  <c r="M15" i="1"/>
  <c r="M9" i="1"/>
  <c r="M10" i="1"/>
  <c r="M11" i="1"/>
  <c r="M12" i="1"/>
  <c r="M13" i="1"/>
  <c r="M14" i="1"/>
  <c r="M8" i="1"/>
  <c r="E8" i="1"/>
  <c r="F8" i="1"/>
  <c r="G8" i="1"/>
  <c r="H8" i="1"/>
  <c r="I8" i="1"/>
  <c r="J8" i="1"/>
  <c r="K8" i="1"/>
  <c r="L8" i="1"/>
  <c r="D8" i="1"/>
  <c r="D7" i="1"/>
  <c r="M7" i="1"/>
  <c r="E7" i="1"/>
  <c r="F7" i="1"/>
  <c r="G7" i="1"/>
  <c r="H7" i="1"/>
  <c r="I7" i="1"/>
  <c r="J7" i="1"/>
  <c r="K7" i="1"/>
  <c r="L7" i="1"/>
  <c r="M6" i="1"/>
  <c r="G6" i="1"/>
  <c r="H6" i="1"/>
  <c r="I6" i="1"/>
  <c r="J6" i="1"/>
  <c r="K6" i="1"/>
  <c r="L6" i="1"/>
  <c r="E6" i="1"/>
</calcChain>
</file>

<file path=xl/sharedStrings.xml><?xml version="1.0" encoding="utf-8"?>
<sst xmlns="http://schemas.openxmlformats.org/spreadsheetml/2006/main" count="8" uniqueCount="4">
  <si>
    <t>width</t>
  </si>
  <si>
    <t>eta</t>
  </si>
  <si>
    <t>alpha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</si>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</sst>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D6DA-D360-4581-9F38-D0DD83B82E52}">
  <dimension ref="A4:N33"/>
  <sheetViews>
    <sheetView tabSelected="1" topLeftCell="A13" zoomScale="130" zoomScaleNormal="130" workbookViewId="0">
      <selection activeCell="T15" sqref="T15"/>
    </sheetView>
  </sheetViews>
  <sheetFormatPr baseColWidth="10" defaultRowHeight="15" x14ac:dyDescent="0.25"/>
  <cols>
    <col min="4" max="13" width="4.5703125" bestFit="1" customWidth="1"/>
  </cols>
  <sheetData>
    <row r="4" spans="1:14" x14ac:dyDescent="0.25">
      <c r="A4" t="s">
        <v>1</v>
      </c>
      <c r="B4">
        <v>8</v>
      </c>
      <c r="D4">
        <v>0.1</v>
      </c>
      <c r="E4">
        <v>0.2</v>
      </c>
      <c r="F4">
        <v>0.3</v>
      </c>
      <c r="G4">
        <v>0.4</v>
      </c>
      <c r="H4">
        <v>0.5</v>
      </c>
      <c r="I4">
        <v>0.6</v>
      </c>
      <c r="J4">
        <v>0.7</v>
      </c>
      <c r="K4">
        <v>0.8</v>
      </c>
      <c r="L4">
        <v>0.9</v>
      </c>
      <c r="M4">
        <v>1</v>
      </c>
      <c r="N4" t="s">
        <v>3</v>
      </c>
    </row>
    <row r="5" spans="1:14" x14ac:dyDescent="0.25">
      <c r="A5" t="s">
        <v>2</v>
      </c>
      <c r="B5">
        <v>0.1</v>
      </c>
      <c r="C5">
        <v>0</v>
      </c>
      <c r="D5" s="1">
        <f t="shared" ref="D5:M5" si="0">(1-$C5)*EXP(-$B$4*(D$4-(1-$B$5))^2)</f>
        <v>5.9760228950059375E-3</v>
      </c>
      <c r="E5" s="1">
        <f t="shared" si="0"/>
        <v>1.9841094744370298E-2</v>
      </c>
      <c r="F5" s="1">
        <f t="shared" si="0"/>
        <v>5.6134762834133677E-2</v>
      </c>
      <c r="G5" s="1">
        <f t="shared" si="0"/>
        <v>0.1353352832366127</v>
      </c>
      <c r="H5" s="1">
        <f t="shared" si="0"/>
        <v>0.27803730045319408</v>
      </c>
      <c r="I5" s="1">
        <f t="shared" si="0"/>
        <v>0.48675225595997157</v>
      </c>
      <c r="J5" s="1">
        <f t="shared" si="0"/>
        <v>0.72614903707369072</v>
      </c>
      <c r="K5" s="1">
        <f t="shared" si="0"/>
        <v>0.92311634638663587</v>
      </c>
      <c r="L5" s="1">
        <f t="shared" si="0"/>
        <v>1</v>
      </c>
      <c r="M5" s="1">
        <f t="shared" si="0"/>
        <v>0.92311634638663587</v>
      </c>
    </row>
    <row r="6" spans="1:14" x14ac:dyDescent="0.25">
      <c r="C6">
        <v>0.1</v>
      </c>
      <c r="D6" s="1">
        <f t="shared" ref="D6:M6" si="1">(1-$C6)*EXP(-$B$4*(D4-(1-$B$5))^2)</f>
        <v>5.3784206055053439E-3</v>
      </c>
      <c r="E6" s="1">
        <f t="shared" si="1"/>
        <v>1.7856985269933269E-2</v>
      </c>
      <c r="F6" s="1">
        <f t="shared" si="1"/>
        <v>5.0521286550720308E-2</v>
      </c>
      <c r="G6" s="1">
        <f t="shared" si="1"/>
        <v>0.12180175491295143</v>
      </c>
      <c r="H6" s="1">
        <f t="shared" si="1"/>
        <v>0.25023357040787469</v>
      </c>
      <c r="I6" s="1">
        <f t="shared" si="1"/>
        <v>0.43807703036397444</v>
      </c>
      <c r="J6" s="1">
        <f t="shared" si="1"/>
        <v>0.65353413336632171</v>
      </c>
      <c r="K6" s="1">
        <f t="shared" si="1"/>
        <v>0.83080471174797232</v>
      </c>
      <c r="L6" s="1">
        <f t="shared" si="1"/>
        <v>0.9</v>
      </c>
      <c r="M6" s="1">
        <f t="shared" si="1"/>
        <v>0.83080471174797232</v>
      </c>
    </row>
    <row r="7" spans="1:14" x14ac:dyDescent="0.25">
      <c r="C7">
        <v>0.2</v>
      </c>
      <c r="D7" s="1">
        <f t="shared" ref="D7:D15" si="2">(1-$C7)*EXP(-$B$4*(D$4-(1-$B$5))^2)</f>
        <v>4.7808183160047502E-3</v>
      </c>
      <c r="E7" s="1">
        <f t="shared" ref="E7:M7" si="3">(1-$C7)*EXP(-$B$4*(E4-(1-$B$5))^2)</f>
        <v>1.587287579549624E-2</v>
      </c>
      <c r="F7" s="1">
        <f t="shared" si="3"/>
        <v>4.4907810267306947E-2</v>
      </c>
      <c r="G7" s="1">
        <f t="shared" si="3"/>
        <v>0.10826822658929017</v>
      </c>
      <c r="H7" s="1">
        <f t="shared" si="3"/>
        <v>0.22242984036255528</v>
      </c>
      <c r="I7" s="1">
        <f t="shared" si="3"/>
        <v>0.38940180476797726</v>
      </c>
      <c r="J7" s="1">
        <f t="shared" si="3"/>
        <v>0.5809192296589526</v>
      </c>
      <c r="K7" s="1">
        <f t="shared" si="3"/>
        <v>0.73849307710930878</v>
      </c>
      <c r="L7" s="1">
        <f t="shared" si="3"/>
        <v>0.8</v>
      </c>
      <c r="M7" s="1">
        <f t="shared" si="3"/>
        <v>0.73849307710930878</v>
      </c>
    </row>
    <row r="8" spans="1:14" x14ac:dyDescent="0.25">
      <c r="C8">
        <v>0.3</v>
      </c>
      <c r="D8" s="1">
        <f t="shared" si="2"/>
        <v>4.1832160265041557E-3</v>
      </c>
      <c r="E8" s="1">
        <f t="shared" ref="E8:M15" si="4">(1-$C8)*EXP(-$B$4*(E$4-(1-$B$5))^2)</f>
        <v>1.3888766321059207E-2</v>
      </c>
      <c r="F8" s="1">
        <f t="shared" si="4"/>
        <v>3.9294333983893572E-2</v>
      </c>
      <c r="G8" s="1">
        <f t="shared" si="4"/>
        <v>9.4734698265628886E-2</v>
      </c>
      <c r="H8" s="1">
        <f t="shared" si="4"/>
        <v>0.19462611031723584</v>
      </c>
      <c r="I8" s="1">
        <f t="shared" si="4"/>
        <v>0.34072657917198007</v>
      </c>
      <c r="J8" s="1">
        <f t="shared" si="4"/>
        <v>0.50830432595158348</v>
      </c>
      <c r="K8" s="1">
        <f t="shared" si="4"/>
        <v>0.64618144247064502</v>
      </c>
      <c r="L8" s="1">
        <f t="shared" si="4"/>
        <v>0.7</v>
      </c>
      <c r="M8" s="1">
        <f t="shared" si="4"/>
        <v>0.64618144247064502</v>
      </c>
    </row>
    <row r="9" spans="1:14" x14ac:dyDescent="0.25">
      <c r="C9">
        <v>0.4</v>
      </c>
      <c r="D9" s="1">
        <f t="shared" si="2"/>
        <v>3.5856137370035624E-3</v>
      </c>
      <c r="E9" s="1">
        <f t="shared" si="4"/>
        <v>1.1904656846622178E-2</v>
      </c>
      <c r="F9" s="1">
        <f t="shared" si="4"/>
        <v>3.3680857700480203E-2</v>
      </c>
      <c r="G9" s="1">
        <f t="shared" si="4"/>
        <v>8.1201169941967619E-2</v>
      </c>
      <c r="H9" s="1">
        <f t="shared" si="4"/>
        <v>0.16682238027191645</v>
      </c>
      <c r="I9" s="1">
        <f t="shared" si="4"/>
        <v>0.29205135357598294</v>
      </c>
      <c r="J9" s="1">
        <f t="shared" si="4"/>
        <v>0.43568942224421442</v>
      </c>
      <c r="K9" s="1">
        <f t="shared" si="4"/>
        <v>0.55386980783198148</v>
      </c>
      <c r="L9" s="1">
        <f t="shared" si="4"/>
        <v>0.6</v>
      </c>
      <c r="M9" s="1">
        <f t="shared" si="4"/>
        <v>0.55386980783198148</v>
      </c>
    </row>
    <row r="10" spans="1:14" x14ac:dyDescent="0.25">
      <c r="C10">
        <v>0.5</v>
      </c>
      <c r="D10" s="1">
        <f t="shared" si="2"/>
        <v>2.9880114475029688E-3</v>
      </c>
      <c r="E10" s="1">
        <f t="shared" si="4"/>
        <v>9.9205473721851491E-3</v>
      </c>
      <c r="F10" s="1">
        <f t="shared" si="4"/>
        <v>2.8067381417066838E-2</v>
      </c>
      <c r="G10" s="1">
        <f t="shared" si="4"/>
        <v>6.7667641618306351E-2</v>
      </c>
      <c r="H10" s="1">
        <f t="shared" si="4"/>
        <v>0.13901865022659704</v>
      </c>
      <c r="I10" s="1">
        <f t="shared" si="4"/>
        <v>0.24337612797998578</v>
      </c>
      <c r="J10" s="1">
        <f t="shared" si="4"/>
        <v>0.36307451853684536</v>
      </c>
      <c r="K10" s="1">
        <f t="shared" si="4"/>
        <v>0.46155817319331793</v>
      </c>
      <c r="L10" s="1">
        <f t="shared" si="4"/>
        <v>0.5</v>
      </c>
      <c r="M10" s="1">
        <f t="shared" si="4"/>
        <v>0.46155817319331793</v>
      </c>
    </row>
    <row r="11" spans="1:14" x14ac:dyDescent="0.25">
      <c r="C11">
        <v>0.6</v>
      </c>
      <c r="D11" s="1">
        <f t="shared" si="2"/>
        <v>2.3904091580023751E-3</v>
      </c>
      <c r="E11" s="1">
        <f t="shared" si="4"/>
        <v>7.9364378977481199E-3</v>
      </c>
      <c r="F11" s="1">
        <f t="shared" si="4"/>
        <v>2.2453905133653473E-2</v>
      </c>
      <c r="G11" s="1">
        <f t="shared" si="4"/>
        <v>5.4134113294645084E-2</v>
      </c>
      <c r="H11" s="1">
        <f t="shared" si="4"/>
        <v>0.11121492018127764</v>
      </c>
      <c r="I11" s="1">
        <f t="shared" si="4"/>
        <v>0.19470090238398863</v>
      </c>
      <c r="J11" s="1">
        <f t="shared" si="4"/>
        <v>0.2904596148294763</v>
      </c>
      <c r="K11" s="1">
        <f t="shared" si="4"/>
        <v>0.36924653855465439</v>
      </c>
      <c r="L11" s="1">
        <f t="shared" si="4"/>
        <v>0.4</v>
      </c>
      <c r="M11" s="1">
        <f t="shared" si="4"/>
        <v>0.36924653855465439</v>
      </c>
    </row>
    <row r="12" spans="1:14" x14ac:dyDescent="0.25">
      <c r="C12">
        <v>0.7</v>
      </c>
      <c r="D12" s="1">
        <f t="shared" si="2"/>
        <v>1.7928068685017814E-3</v>
      </c>
      <c r="E12" s="1">
        <f t="shared" si="4"/>
        <v>5.95232842331109E-3</v>
      </c>
      <c r="F12" s="1">
        <f t="shared" si="4"/>
        <v>1.6840428850240105E-2</v>
      </c>
      <c r="G12" s="1">
        <f t="shared" si="4"/>
        <v>4.0600584970983816E-2</v>
      </c>
      <c r="H12" s="1">
        <f t="shared" si="4"/>
        <v>8.3411190135958241E-2</v>
      </c>
      <c r="I12" s="1">
        <f t="shared" si="4"/>
        <v>0.1460256767879915</v>
      </c>
      <c r="J12" s="1">
        <f t="shared" si="4"/>
        <v>0.21784471112210724</v>
      </c>
      <c r="K12" s="1">
        <f t="shared" si="4"/>
        <v>0.27693490391599079</v>
      </c>
      <c r="L12" s="1">
        <f t="shared" si="4"/>
        <v>0.30000000000000004</v>
      </c>
      <c r="M12" s="1">
        <f t="shared" si="4"/>
        <v>0.27693490391599079</v>
      </c>
    </row>
    <row r="13" spans="1:14" x14ac:dyDescent="0.25">
      <c r="C13">
        <v>0.8</v>
      </c>
      <c r="D13" s="1">
        <f t="shared" si="2"/>
        <v>1.1952045790011873E-3</v>
      </c>
      <c r="E13" s="1">
        <f t="shared" si="4"/>
        <v>3.9682189488740591E-3</v>
      </c>
      <c r="F13" s="1">
        <f t="shared" si="4"/>
        <v>1.1226952566826733E-2</v>
      </c>
      <c r="G13" s="1">
        <f t="shared" si="4"/>
        <v>2.7067056647322535E-2</v>
      </c>
      <c r="H13" s="1">
        <f t="shared" si="4"/>
        <v>5.5607460090638806E-2</v>
      </c>
      <c r="I13" s="1">
        <f t="shared" si="4"/>
        <v>9.7350451191994286E-2</v>
      </c>
      <c r="J13" s="1">
        <f t="shared" si="4"/>
        <v>0.14522980741473812</v>
      </c>
      <c r="K13" s="1">
        <f t="shared" si="4"/>
        <v>0.18462326927732714</v>
      </c>
      <c r="L13" s="1">
        <f t="shared" si="4"/>
        <v>0.19999999999999996</v>
      </c>
      <c r="M13" s="1">
        <f t="shared" si="4"/>
        <v>0.18462326927732714</v>
      </c>
    </row>
    <row r="14" spans="1:14" x14ac:dyDescent="0.25">
      <c r="C14">
        <v>0.9</v>
      </c>
      <c r="D14" s="1">
        <f t="shared" si="2"/>
        <v>5.9760228950059367E-4</v>
      </c>
      <c r="E14" s="1">
        <f t="shared" si="4"/>
        <v>1.9841094744370296E-3</v>
      </c>
      <c r="F14" s="1">
        <f t="shared" si="4"/>
        <v>5.6134762834133666E-3</v>
      </c>
      <c r="G14" s="1">
        <f t="shared" si="4"/>
        <v>1.3533528323661267E-2</v>
      </c>
      <c r="H14" s="1">
        <f t="shared" si="4"/>
        <v>2.7803730045319403E-2</v>
      </c>
      <c r="I14" s="1">
        <f t="shared" si="4"/>
        <v>4.8675225595997143E-2</v>
      </c>
      <c r="J14" s="1">
        <f t="shared" si="4"/>
        <v>7.2614903707369061E-2</v>
      </c>
      <c r="K14" s="1">
        <f t="shared" si="4"/>
        <v>9.231163463866357E-2</v>
      </c>
      <c r="L14" s="1">
        <f t="shared" si="4"/>
        <v>9.9999999999999978E-2</v>
      </c>
      <c r="M14" s="1">
        <f t="shared" si="4"/>
        <v>9.231163463866357E-2</v>
      </c>
    </row>
    <row r="15" spans="1:14" x14ac:dyDescent="0.25">
      <c r="C15">
        <v>1</v>
      </c>
      <c r="D15" s="1">
        <f t="shared" si="2"/>
        <v>0</v>
      </c>
      <c r="E15" s="1">
        <f t="shared" si="4"/>
        <v>0</v>
      </c>
      <c r="F15" s="1">
        <f t="shared" si="4"/>
        <v>0</v>
      </c>
      <c r="G15" s="1">
        <f t="shared" si="4"/>
        <v>0</v>
      </c>
      <c r="H15" s="1">
        <f t="shared" si="4"/>
        <v>0</v>
      </c>
      <c r="I15" s="1">
        <f t="shared" si="4"/>
        <v>0</v>
      </c>
      <c r="J15" s="1">
        <f t="shared" si="4"/>
        <v>0</v>
      </c>
      <c r="K15" s="1">
        <f t="shared" si="4"/>
        <v>0</v>
      </c>
      <c r="L15" s="1">
        <f t="shared" si="4"/>
        <v>0</v>
      </c>
      <c r="M15" s="1">
        <f t="shared" si="4"/>
        <v>0</v>
      </c>
    </row>
    <row r="16" spans="1:14" x14ac:dyDescent="0.25">
      <c r="C16" t="s">
        <v>0</v>
      </c>
    </row>
    <row r="21" spans="1:14" x14ac:dyDescent="0.25">
      <c r="A21" t="s">
        <v>1</v>
      </c>
      <c r="B21">
        <v>8</v>
      </c>
      <c r="D21">
        <v>0.1</v>
      </c>
      <c r="E21">
        <v>0.2</v>
      </c>
      <c r="F21">
        <v>0.3</v>
      </c>
      <c r="G21">
        <v>0.4</v>
      </c>
      <c r="H21">
        <v>0.5</v>
      </c>
      <c r="I21">
        <v>0.6</v>
      </c>
      <c r="J21">
        <v>0.7</v>
      </c>
      <c r="K21">
        <v>0.8</v>
      </c>
      <c r="L21">
        <v>0.9</v>
      </c>
      <c r="M21">
        <v>1</v>
      </c>
      <c r="N21" t="s">
        <v>3</v>
      </c>
    </row>
    <row r="22" spans="1:14" x14ac:dyDescent="0.25">
      <c r="A22" t="s">
        <v>2</v>
      </c>
      <c r="B22">
        <v>0.1</v>
      </c>
      <c r="C22">
        <v>0</v>
      </c>
      <c r="D22" s="1">
        <f>(1-$C22)*EXP(-$B$21*(MAX(0,(1-$B$22)-D$4)^2))</f>
        <v>5.9760228950059375E-3</v>
      </c>
      <c r="E22" s="1">
        <f t="shared" ref="E22:M32" si="5">(1-$C22)*EXP(-$B$21*(MAX(0,(1-$B$22)-E$4)^2))</f>
        <v>1.9841094744370298E-2</v>
      </c>
      <c r="F22" s="1">
        <f t="shared" si="5"/>
        <v>5.6134762834133677E-2</v>
      </c>
      <c r="G22" s="1">
        <f t="shared" si="5"/>
        <v>0.1353352832366127</v>
      </c>
      <c r="H22" s="1">
        <f t="shared" si="5"/>
        <v>0.27803730045319408</v>
      </c>
      <c r="I22" s="1">
        <f t="shared" si="5"/>
        <v>0.48675225595997157</v>
      </c>
      <c r="J22" s="1">
        <f t="shared" si="5"/>
        <v>0.72614903707369072</v>
      </c>
      <c r="K22" s="1">
        <f t="shared" si="5"/>
        <v>0.92311634638663587</v>
      </c>
      <c r="L22" s="1">
        <f t="shared" si="5"/>
        <v>1</v>
      </c>
      <c r="M22" s="1">
        <f t="shared" si="5"/>
        <v>1</v>
      </c>
    </row>
    <row r="23" spans="1:14" x14ac:dyDescent="0.25">
      <c r="C23">
        <v>0.1</v>
      </c>
      <c r="D23" s="1">
        <f t="shared" ref="D23:D32" si="6">(1-$C23)*EXP(-$B$21*(MAX(0,(1-$B$22)-D$4)^2))</f>
        <v>5.3784206055053439E-3</v>
      </c>
      <c r="E23" s="1">
        <f t="shared" si="5"/>
        <v>1.7856985269933269E-2</v>
      </c>
      <c r="F23" s="1">
        <f t="shared" si="5"/>
        <v>5.0521286550720308E-2</v>
      </c>
      <c r="G23" s="1">
        <f t="shared" si="5"/>
        <v>0.12180175491295143</v>
      </c>
      <c r="H23" s="1">
        <f t="shared" si="5"/>
        <v>0.25023357040787469</v>
      </c>
      <c r="I23" s="1">
        <f t="shared" si="5"/>
        <v>0.43807703036397444</v>
      </c>
      <c r="J23" s="1">
        <f t="shared" si="5"/>
        <v>0.65353413336632171</v>
      </c>
      <c r="K23" s="1">
        <f t="shared" si="5"/>
        <v>0.83080471174797232</v>
      </c>
      <c r="L23" s="1">
        <f t="shared" si="5"/>
        <v>0.9</v>
      </c>
      <c r="M23" s="1">
        <f t="shared" si="5"/>
        <v>0.9</v>
      </c>
    </row>
    <row r="24" spans="1:14" x14ac:dyDescent="0.25">
      <c r="C24">
        <v>0.2</v>
      </c>
      <c r="D24" s="1">
        <f t="shared" si="6"/>
        <v>4.7808183160047502E-3</v>
      </c>
      <c r="E24" s="1">
        <f t="shared" si="5"/>
        <v>1.587287579549624E-2</v>
      </c>
      <c r="F24" s="1">
        <f t="shared" si="5"/>
        <v>4.4907810267306947E-2</v>
      </c>
      <c r="G24" s="1">
        <f t="shared" si="5"/>
        <v>0.10826822658929017</v>
      </c>
      <c r="H24" s="1">
        <f t="shared" si="5"/>
        <v>0.22242984036255528</v>
      </c>
      <c r="I24" s="1">
        <f t="shared" si="5"/>
        <v>0.38940180476797726</v>
      </c>
      <c r="J24" s="1">
        <f t="shared" si="5"/>
        <v>0.5809192296589526</v>
      </c>
      <c r="K24" s="1">
        <f t="shared" si="5"/>
        <v>0.73849307710930878</v>
      </c>
      <c r="L24" s="1">
        <f t="shared" si="5"/>
        <v>0.8</v>
      </c>
      <c r="M24" s="1">
        <f t="shared" si="5"/>
        <v>0.8</v>
      </c>
    </row>
    <row r="25" spans="1:14" x14ac:dyDescent="0.25">
      <c r="C25">
        <v>0.3</v>
      </c>
      <c r="D25" s="1">
        <f t="shared" si="6"/>
        <v>4.1832160265041557E-3</v>
      </c>
      <c r="E25" s="1">
        <f t="shared" si="5"/>
        <v>1.3888766321059207E-2</v>
      </c>
      <c r="F25" s="1">
        <f t="shared" si="5"/>
        <v>3.9294333983893572E-2</v>
      </c>
      <c r="G25" s="1">
        <f t="shared" si="5"/>
        <v>9.4734698265628886E-2</v>
      </c>
      <c r="H25" s="1">
        <f t="shared" si="5"/>
        <v>0.19462611031723584</v>
      </c>
      <c r="I25" s="1">
        <f t="shared" si="5"/>
        <v>0.34072657917198007</v>
      </c>
      <c r="J25" s="1">
        <f t="shared" si="5"/>
        <v>0.50830432595158348</v>
      </c>
      <c r="K25" s="1">
        <f t="shared" si="5"/>
        <v>0.64618144247064502</v>
      </c>
      <c r="L25" s="1">
        <f t="shared" si="5"/>
        <v>0.7</v>
      </c>
      <c r="M25" s="1">
        <f t="shared" si="5"/>
        <v>0.7</v>
      </c>
    </row>
    <row r="26" spans="1:14" x14ac:dyDescent="0.25">
      <c r="C26">
        <v>0.4</v>
      </c>
      <c r="D26" s="1">
        <f t="shared" si="6"/>
        <v>3.5856137370035624E-3</v>
      </c>
      <c r="E26" s="1">
        <f t="shared" si="5"/>
        <v>1.1904656846622178E-2</v>
      </c>
      <c r="F26" s="1">
        <f t="shared" si="5"/>
        <v>3.3680857700480203E-2</v>
      </c>
      <c r="G26" s="1">
        <f t="shared" si="5"/>
        <v>8.1201169941967619E-2</v>
      </c>
      <c r="H26" s="1">
        <f t="shared" si="5"/>
        <v>0.16682238027191645</v>
      </c>
      <c r="I26" s="1">
        <f t="shared" si="5"/>
        <v>0.29205135357598294</v>
      </c>
      <c r="J26" s="1">
        <f t="shared" si="5"/>
        <v>0.43568942224421442</v>
      </c>
      <c r="K26" s="1">
        <f t="shared" si="5"/>
        <v>0.55386980783198148</v>
      </c>
      <c r="L26" s="1">
        <f t="shared" si="5"/>
        <v>0.6</v>
      </c>
      <c r="M26" s="1">
        <f t="shared" si="5"/>
        <v>0.6</v>
      </c>
    </row>
    <row r="27" spans="1:14" x14ac:dyDescent="0.25">
      <c r="C27">
        <v>0.5</v>
      </c>
      <c r="D27" s="1">
        <f t="shared" si="6"/>
        <v>2.9880114475029688E-3</v>
      </c>
      <c r="E27" s="1">
        <f t="shared" si="5"/>
        <v>9.9205473721851491E-3</v>
      </c>
      <c r="F27" s="1">
        <f t="shared" si="5"/>
        <v>2.8067381417066838E-2</v>
      </c>
      <c r="G27" s="1">
        <f t="shared" si="5"/>
        <v>6.7667641618306351E-2</v>
      </c>
      <c r="H27" s="1">
        <f t="shared" si="5"/>
        <v>0.13901865022659704</v>
      </c>
      <c r="I27" s="1">
        <f t="shared" si="5"/>
        <v>0.24337612797998578</v>
      </c>
      <c r="J27" s="1">
        <f t="shared" si="5"/>
        <v>0.36307451853684536</v>
      </c>
      <c r="K27" s="1">
        <f t="shared" si="5"/>
        <v>0.46155817319331793</v>
      </c>
      <c r="L27" s="1">
        <f t="shared" si="5"/>
        <v>0.5</v>
      </c>
      <c r="M27" s="1">
        <f t="shared" si="5"/>
        <v>0.5</v>
      </c>
    </row>
    <row r="28" spans="1:14" x14ac:dyDescent="0.25">
      <c r="C28">
        <v>0.6</v>
      </c>
      <c r="D28" s="1">
        <f t="shared" si="6"/>
        <v>2.3904091580023751E-3</v>
      </c>
      <c r="E28" s="1">
        <f t="shared" si="5"/>
        <v>7.9364378977481199E-3</v>
      </c>
      <c r="F28" s="1">
        <f t="shared" si="5"/>
        <v>2.2453905133653473E-2</v>
      </c>
      <c r="G28" s="1">
        <f t="shared" si="5"/>
        <v>5.4134113294645084E-2</v>
      </c>
      <c r="H28" s="1">
        <f t="shared" si="5"/>
        <v>0.11121492018127764</v>
      </c>
      <c r="I28" s="1">
        <f t="shared" si="5"/>
        <v>0.19470090238398863</v>
      </c>
      <c r="J28" s="1">
        <f t="shared" si="5"/>
        <v>0.2904596148294763</v>
      </c>
      <c r="K28" s="1">
        <f t="shared" si="5"/>
        <v>0.36924653855465439</v>
      </c>
      <c r="L28" s="1">
        <f t="shared" si="5"/>
        <v>0.4</v>
      </c>
      <c r="M28" s="1">
        <f t="shared" si="5"/>
        <v>0.4</v>
      </c>
    </row>
    <row r="29" spans="1:14" x14ac:dyDescent="0.25">
      <c r="C29">
        <v>0.7</v>
      </c>
      <c r="D29" s="1">
        <f t="shared" si="6"/>
        <v>1.7928068685017814E-3</v>
      </c>
      <c r="E29" s="1">
        <f t="shared" si="5"/>
        <v>5.95232842331109E-3</v>
      </c>
      <c r="F29" s="1">
        <f t="shared" si="5"/>
        <v>1.6840428850240105E-2</v>
      </c>
      <c r="G29" s="1">
        <f t="shared" si="5"/>
        <v>4.0600584970983816E-2</v>
      </c>
      <c r="H29" s="1">
        <f t="shared" si="5"/>
        <v>8.3411190135958241E-2</v>
      </c>
      <c r="I29" s="1">
        <f t="shared" si="5"/>
        <v>0.1460256767879915</v>
      </c>
      <c r="J29" s="1">
        <f t="shared" si="5"/>
        <v>0.21784471112210724</v>
      </c>
      <c r="K29" s="1">
        <f t="shared" si="5"/>
        <v>0.27693490391599079</v>
      </c>
      <c r="L29" s="1">
        <f t="shared" si="5"/>
        <v>0.30000000000000004</v>
      </c>
      <c r="M29" s="1">
        <f t="shared" si="5"/>
        <v>0.30000000000000004</v>
      </c>
    </row>
    <row r="30" spans="1:14" x14ac:dyDescent="0.25">
      <c r="C30">
        <v>0.8</v>
      </c>
      <c r="D30" s="1">
        <f t="shared" si="6"/>
        <v>1.1952045790011873E-3</v>
      </c>
      <c r="E30" s="1">
        <f t="shared" si="5"/>
        <v>3.9682189488740591E-3</v>
      </c>
      <c r="F30" s="1">
        <f t="shared" si="5"/>
        <v>1.1226952566826733E-2</v>
      </c>
      <c r="G30" s="1">
        <f t="shared" si="5"/>
        <v>2.7067056647322535E-2</v>
      </c>
      <c r="H30" s="1">
        <f t="shared" si="5"/>
        <v>5.5607460090638806E-2</v>
      </c>
      <c r="I30" s="1">
        <f t="shared" si="5"/>
        <v>9.7350451191994286E-2</v>
      </c>
      <c r="J30" s="1">
        <f t="shared" si="5"/>
        <v>0.14522980741473812</v>
      </c>
      <c r="K30" s="1">
        <f t="shared" si="5"/>
        <v>0.18462326927732714</v>
      </c>
      <c r="L30" s="1">
        <f t="shared" si="5"/>
        <v>0.19999999999999996</v>
      </c>
      <c r="M30" s="1">
        <f t="shared" si="5"/>
        <v>0.19999999999999996</v>
      </c>
    </row>
    <row r="31" spans="1:14" x14ac:dyDescent="0.25">
      <c r="C31">
        <v>0.9</v>
      </c>
      <c r="D31" s="1">
        <f t="shared" si="6"/>
        <v>5.9760228950059367E-4</v>
      </c>
      <c r="E31" s="1">
        <f t="shared" si="5"/>
        <v>1.9841094744370296E-3</v>
      </c>
      <c r="F31" s="1">
        <f t="shared" si="5"/>
        <v>5.6134762834133666E-3</v>
      </c>
      <c r="G31" s="1">
        <f t="shared" si="5"/>
        <v>1.3533528323661267E-2</v>
      </c>
      <c r="H31" s="1">
        <f t="shared" si="5"/>
        <v>2.7803730045319403E-2</v>
      </c>
      <c r="I31" s="1">
        <f t="shared" si="5"/>
        <v>4.8675225595997143E-2</v>
      </c>
      <c r="J31" s="1">
        <f t="shared" si="5"/>
        <v>7.2614903707369061E-2</v>
      </c>
      <c r="K31" s="1">
        <f t="shared" si="5"/>
        <v>9.231163463866357E-2</v>
      </c>
      <c r="L31" s="1">
        <f t="shared" si="5"/>
        <v>9.9999999999999978E-2</v>
      </c>
      <c r="M31" s="1">
        <f t="shared" si="5"/>
        <v>9.9999999999999978E-2</v>
      </c>
    </row>
    <row r="32" spans="1:14" x14ac:dyDescent="0.25">
      <c r="C32">
        <v>1</v>
      </c>
      <c r="D32" s="1">
        <f t="shared" si="6"/>
        <v>0</v>
      </c>
      <c r="E32" s="1">
        <f t="shared" si="5"/>
        <v>0</v>
      </c>
      <c r="F32" s="1">
        <f t="shared" si="5"/>
        <v>0</v>
      </c>
      <c r="G32" s="1">
        <f t="shared" si="5"/>
        <v>0</v>
      </c>
      <c r="H32" s="1">
        <f t="shared" si="5"/>
        <v>0</v>
      </c>
      <c r="I32" s="1">
        <f t="shared" si="5"/>
        <v>0</v>
      </c>
      <c r="J32" s="1">
        <f t="shared" si="5"/>
        <v>0</v>
      </c>
      <c r="K32" s="1">
        <f t="shared" si="5"/>
        <v>0</v>
      </c>
      <c r="L32" s="1">
        <f t="shared" si="5"/>
        <v>0</v>
      </c>
      <c r="M32" s="1">
        <f t="shared" si="5"/>
        <v>0</v>
      </c>
    </row>
    <row r="33" spans="3:3" x14ac:dyDescent="0.25">
      <c r="C33" t="s">
        <v>0</v>
      </c>
    </row>
  </sheetData>
  <conditionalFormatting sqref="D5:M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M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M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pulido</dc:creator>
  <cp:lastModifiedBy>cristian pulido</cp:lastModifiedBy>
  <dcterms:created xsi:type="dcterms:W3CDTF">2025-07-18T03:30:49Z</dcterms:created>
  <dcterms:modified xsi:type="dcterms:W3CDTF">2025-08-28T21:46:27Z</dcterms:modified>
</cp:coreProperties>
</file>